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eotron\Desktop\"/>
    </mc:Choice>
  </mc:AlternateContent>
  <xr:revisionPtr revIDLastSave="0" documentId="13_ncr:1_{3707C0D6-6A02-41CA-94ED-D5A3FA51281D}" xr6:coauthVersionLast="47" xr6:coauthVersionMax="47" xr10:uidLastSave="{00000000-0000-0000-0000-000000000000}"/>
  <bookViews>
    <workbookView xWindow="-20610" yWindow="0" windowWidth="20730" windowHeight="11310" xr2:uid="{2F426E6D-B29F-41F9-BF75-207D724B33C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" l="1"/>
  <c r="I11" i="1"/>
  <c r="I14" i="1"/>
  <c r="I13" i="1"/>
  <c r="I7" i="1"/>
  <c r="I6" i="1"/>
  <c r="H10" i="1"/>
  <c r="I10" i="1" s="1"/>
  <c r="I5" i="1"/>
  <c r="I4" i="1"/>
  <c r="I16" i="1" l="1"/>
  <c r="I18" i="1" l="1"/>
  <c r="I20" i="1" s="1"/>
</calcChain>
</file>

<file path=xl/sharedStrings.xml><?xml version="1.0" encoding="utf-8"?>
<sst xmlns="http://schemas.openxmlformats.org/spreadsheetml/2006/main" count="23" uniqueCount="19">
  <si>
    <t>0811-4800-3814</t>
  </si>
  <si>
    <t>0811-1111-1111</t>
  </si>
  <si>
    <t>Samsung A7</t>
  </si>
  <si>
    <t>Qontak - Business Operational</t>
  </si>
  <si>
    <t>bulan</t>
  </si>
  <si>
    <t>Additional User/Agent Seat/CRM</t>
  </si>
  <si>
    <t xml:space="preserve">Internet </t>
  </si>
  <si>
    <t>Bulan</t>
  </si>
  <si>
    <t>Unit</t>
  </si>
  <si>
    <t>PPN 11%</t>
  </si>
  <si>
    <t>Penambahan Nomor Telepon Layanan</t>
  </si>
  <si>
    <t>Kali</t>
  </si>
  <si>
    <t>Pembuatan Conversation Flow</t>
  </si>
  <si>
    <t>Pembuatan Chat Bot Logic</t>
  </si>
  <si>
    <t>Sewa Infrastruktur Dedicated Cloud &amp; Security Suite</t>
  </si>
  <si>
    <t>Pengembangan Mesin WBS &amp; Enkripsi Data</t>
  </si>
  <si>
    <t>Integrasi API Gateway &amp; Notifikasi Aman</t>
  </si>
  <si>
    <t>Bimtek Inspektorat &amp; Sosialisasi Antikorupsi</t>
  </si>
  <si>
    <t>Optimalisasi AI Chatbot (Module Investigasi)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</si>
</sst>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">
    <xf numFmtId="0" fontId="0" fillId="0" borderId="0" xfId="0"/>
    <xf numFmtId="42" fontId="0" fillId="0" borderId="0" xfId="1" applyFont="1"/>
    <xf numFmtId="42" fontId="2" fillId="0" borderId="0" xfId="1" applyFo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ED8C-4E98-4229-B819-71C61386C300}">
  <dimension ref="A3:I20"/>
  <sheetViews>
    <sheetView tabSelected="1" workbookViewId="0">
      <selection activeCell="I20" sqref="A3:I20"/>
    </sheetView>
  </sheetViews>
  <sheetFormatPr defaultRowHeight="14.4" x14ac:dyDescent="0.3"/>
  <cols>
    <col min="1" max="1" width="2" bestFit="1" customWidth="1"/>
    <col min="2" max="2" width="34.33203125" bestFit="1" customWidth="1"/>
    <col min="3" max="4" width="14.44140625" hidden="1" customWidth="1"/>
    <col min="5" max="5" width="14.44140625" style="1" hidden="1" customWidth="1"/>
    <col min="8" max="8" width="14.33203125" style="1" customWidth="1"/>
    <col min="9" max="9" width="20.88671875" style="1" customWidth="1"/>
  </cols>
  <sheetData>
    <row r="3" spans="1:9" x14ac:dyDescent="0.3">
      <c r="A3">
        <v>1</v>
      </c>
      <c r="B3" t="s">
        <v>10</v>
      </c>
    </row>
    <row r="4" spans="1:9" x14ac:dyDescent="0.3">
      <c r="B4" t="s">
        <v>0</v>
      </c>
      <c r="F4">
        <v>12</v>
      </c>
      <c r="G4" t="s">
        <v>4</v>
      </c>
      <c r="H4" s="1">
        <v>250000</v>
      </c>
      <c r="I4" s="1">
        <f>H4*F4</f>
        <v>3000000</v>
      </c>
    </row>
    <row r="5" spans="1:9" x14ac:dyDescent="0.3">
      <c r="B5" t="s">
        <v>1</v>
      </c>
      <c r="F5">
        <v>12</v>
      </c>
      <c r="G5" t="s">
        <v>4</v>
      </c>
      <c r="H5" s="1">
        <v>250000</v>
      </c>
      <c r="I5" s="1">
        <f>H5*F5</f>
        <v>3000000</v>
      </c>
    </row>
    <row r="6" spans="1:9" x14ac:dyDescent="0.3">
      <c r="B6" t="s">
        <v>6</v>
      </c>
      <c r="F6">
        <v>12</v>
      </c>
      <c r="G6" t="s">
        <v>7</v>
      </c>
      <c r="H6" s="1">
        <v>160000</v>
      </c>
      <c r="I6" s="1">
        <f>H6*F6</f>
        <v>1920000</v>
      </c>
    </row>
    <row r="7" spans="1:9" x14ac:dyDescent="0.3">
      <c r="B7" t="s">
        <v>2</v>
      </c>
      <c r="F7">
        <v>1</v>
      </c>
      <c r="G7" t="s">
        <v>8</v>
      </c>
      <c r="H7" s="1">
        <v>1500000</v>
      </c>
      <c r="I7" s="1">
        <f>F7*H7</f>
        <v>1500000</v>
      </c>
    </row>
    <row r="9" spans="1:9" x14ac:dyDescent="0.3">
      <c r="A9">
        <v>2</v>
      </c>
      <c r="B9" t="s">
        <v>3</v>
      </c>
      <c r="I9" s="1">
        <v>27972000</v>
      </c>
    </row>
    <row r="10" spans="1:9" x14ac:dyDescent="0.3">
      <c r="A10">
        <v>3</v>
      </c>
      <c r="B10" t="s">
        <v>5</v>
      </c>
      <c r="D10">
        <v>7</v>
      </c>
      <c r="E10" s="1">
        <v>700000</v>
      </c>
      <c r="F10">
        <v>12</v>
      </c>
      <c r="G10" t="s">
        <v>4</v>
      </c>
      <c r="H10" s="1">
        <f>D10*E10</f>
        <v>4900000</v>
      </c>
      <c r="I10" s="1">
        <f>H10*F10</f>
        <v>58800000</v>
      </c>
    </row>
    <row r="11" spans="1:9" x14ac:dyDescent="0.3">
      <c r="F11">
        <v>12</v>
      </c>
      <c r="G11" t="s">
        <v>7</v>
      </c>
      <c r="H11" s="1">
        <v>250000</v>
      </c>
      <c r="I11" s="1">
        <f>H11*F11</f>
        <v>3000000</v>
      </c>
    </row>
    <row r="13" spans="1:9" x14ac:dyDescent="0.3">
      <c r="A13">
        <v>4</v>
      </c>
      <c r="B13" t="s">
        <v>12</v>
      </c>
      <c r="F13">
        <v>1</v>
      </c>
      <c r="G13" t="s">
        <v>11</v>
      </c>
      <c r="H13" s="1">
        <v>50000000</v>
      </c>
      <c r="I13" s="1">
        <f>F13*H13</f>
        <v>50000000</v>
      </c>
    </row>
    <row r="14" spans="1:9" x14ac:dyDescent="0.3">
      <c r="A14">
        <v>5</v>
      </c>
      <c r="B14" t="s">
        <v>13</v>
      </c>
      <c r="F14">
        <v>1</v>
      </c>
      <c r="G14" t="s">
        <v>11</v>
      </c>
      <c r="H14" s="1">
        <v>20000000</v>
      </c>
      <c r="I14" s="1">
        <f>F14*H14</f>
        <v>20000000</v>
      </c>
    </row>
    <row r="16" spans="1:9" x14ac:dyDescent="0.3">
      <c r="I16" s="2">
        <f>SUM(I4:I14)</f>
        <v>169192000</v>
      </c>
    </row>
    <row r="18" spans="6:9" x14ac:dyDescent="0.3">
      <c r="F18" t="s">
        <v>9</v>
      </c>
      <c r="I18" s="1">
        <f>I16*11%</f>
        <v>18611120</v>
      </c>
    </row>
    <row r="20" spans="6:9" x14ac:dyDescent="0.3">
      <c r="I20" s="2">
        <f>SUM(I16:I19)</f>
        <v>187803120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3D15-8D63-4541-95FA-29679AEBA57C}">
  <dimension ref="C3:E9"/>
  <sheetViews>
    <sheetView workbookViewId="0">
      <selection activeCell="E9" sqref="C3:E9"/>
    </sheetView>
  </sheetViews>
  <sheetFormatPr defaultRowHeight="14.4" x14ac:dyDescent="0.3"/>
  <cols>
    <col min="3" max="3" width="46.6640625" bestFit="1" customWidth="1"/>
    <col min="5" max="5" width="18" style="1" customWidth="1"/>
  </cols>
  <sheetData>
    <row r="3" spans="3:5" x14ac:dyDescent="0.3">
      <c r="C3" t="s">
        <v>14</v>
      </c>
      <c r="E3" s="1">
        <v>55000000</v>
      </c>
    </row>
    <row r="4" spans="3:5" x14ac:dyDescent="0.3">
      <c r="C4" t="s">
        <v>15</v>
      </c>
      <c r="E4" s="1">
        <v>60000000</v>
      </c>
    </row>
    <row r="5" spans="3:5" x14ac:dyDescent="0.3">
      <c r="C5" t="s">
        <v>18</v>
      </c>
      <c r="E5" s="1">
        <v>45000000</v>
      </c>
    </row>
    <row r="6" spans="3:5" x14ac:dyDescent="0.3">
      <c r="C6" t="s">
        <v>16</v>
      </c>
      <c r="E6" s="1">
        <v>25000000</v>
      </c>
    </row>
    <row r="7" spans="3:5" x14ac:dyDescent="0.3">
      <c r="C7" t="s">
        <v>17</v>
      </c>
      <c r="E7" s="1">
        <v>15000000</v>
      </c>
    </row>
    <row r="9" spans="3:5" x14ac:dyDescent="0.3">
      <c r="E9" s="1">
        <f>SUM(E3:E8)</f>
        <v>200000000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videotron</dc:creator>
  <cp:lastModifiedBy>videotron</cp:lastModifiedBy>
  <dcterms:created xsi:type="dcterms:W3CDTF">2026-03-02T03:24:47Z</dcterms:created>
  <dcterms:modified xsi:type="dcterms:W3CDTF">2026-04-08T10:27:54Z</dcterms:modified>
</cp:coreProperties>
</file>